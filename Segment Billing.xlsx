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13" i="1"/>
  <c r="E13"/>
  <c r="D13"/>
  <c r="C13"/>
</calcChain>
</file>

<file path=xl/sharedStrings.xml><?xml version="1.0" encoding="utf-8"?>
<sst xmlns="http://schemas.openxmlformats.org/spreadsheetml/2006/main" count="26" uniqueCount="14">
  <si>
    <t>Audit Status</t>
  </si>
  <si>
    <t>ENTERPRISE</t>
  </si>
  <si>
    <t>Complete</t>
  </si>
  <si>
    <t>Incomplete</t>
  </si>
  <si>
    <t>Pending</t>
  </si>
  <si>
    <t>MID MARKET</t>
  </si>
  <si>
    <t>SMB</t>
  </si>
  <si>
    <t>Invoices Issued</t>
  </si>
  <si>
    <t>Billed Exposure</t>
  </si>
  <si>
    <t>Cash Recovered</t>
  </si>
  <si>
    <t>Uncollected Exposure</t>
  </si>
  <si>
    <t>TOTAL</t>
  </si>
  <si>
    <t>Client Segment</t>
  </si>
  <si>
    <t>Segment Billing &amp; Collections</t>
  </si>
</sst>
</file>

<file path=xl/styles.xml><?xml version="1.0" encoding="utf-8"?>
<styleSheet xmlns="http://schemas.openxmlformats.org/spreadsheetml/2006/main">
  <numFmts count="1">
    <numFmt numFmtId="164" formatCode="&quot;₹&quot;\ #,##0"/>
  </numFmts>
  <fonts count="5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0"/>
      <name val="Algerian"/>
      <family val="5"/>
    </font>
    <font>
      <b/>
      <sz val="10"/>
      <color theme="0"/>
      <name val="Arial Black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" xfId="0" applyNumberFormat="1" applyBorder="1"/>
    <xf numFmtId="164" fontId="0" fillId="0" borderId="4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10">
    <dxf>
      <numFmt numFmtId="164" formatCode="&quot;₹&quot;\ #,##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scheme val="none"/>
      </font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12" totalsRowShown="0" headerRowDxfId="9" headerRowBorderDxfId="8" tableBorderDxfId="7" totalsRowBorderDxfId="6">
  <autoFilter ref="A3:F12"/>
  <tableColumns count="6">
    <tableColumn id="1" name="Client Segment" dataDxfId="5"/>
    <tableColumn id="2" name="Audit Status" dataDxfId="4"/>
    <tableColumn id="3" name="Invoices Issued" dataDxfId="3"/>
    <tableColumn id="4" name="Billed Exposure" dataDxfId="2"/>
    <tableColumn id="5" name="Cash Recovered" dataDxfId="1"/>
    <tableColumn id="6" name="Uncollected Exposur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D18" sqref="D18"/>
    </sheetView>
  </sheetViews>
  <sheetFormatPr defaultRowHeight="15"/>
  <cols>
    <col min="1" max="1" width="21.5703125" customWidth="1"/>
    <col min="2" max="2" width="22.28515625" customWidth="1"/>
    <col min="3" max="3" width="26.42578125" customWidth="1"/>
    <col min="4" max="4" width="26" customWidth="1"/>
    <col min="5" max="5" width="25.140625" customWidth="1"/>
    <col min="6" max="6" width="31.85546875" customWidth="1"/>
  </cols>
  <sheetData>
    <row r="1" spans="1:6">
      <c r="A1" s="12" t="s">
        <v>13</v>
      </c>
      <c r="B1" s="13"/>
      <c r="C1" s="13"/>
      <c r="D1" s="13"/>
      <c r="E1" s="13"/>
      <c r="F1" s="14"/>
    </row>
    <row r="2" spans="1:6">
      <c r="A2" s="15"/>
      <c r="B2" s="16"/>
      <c r="C2" s="16"/>
      <c r="D2" s="16"/>
      <c r="E2" s="16"/>
      <c r="F2" s="17"/>
    </row>
    <row r="3" spans="1:6" ht="18.75">
      <c r="A3" s="9" t="s">
        <v>12</v>
      </c>
      <c r="B3" s="10" t="s">
        <v>0</v>
      </c>
      <c r="C3" s="10" t="s">
        <v>7</v>
      </c>
      <c r="D3" s="10" t="s">
        <v>8</v>
      </c>
      <c r="E3" s="10" t="s">
        <v>9</v>
      </c>
      <c r="F3" s="11" t="s">
        <v>10</v>
      </c>
    </row>
    <row r="4" spans="1:6">
      <c r="A4" s="1" t="s">
        <v>1</v>
      </c>
      <c r="B4" s="2" t="s">
        <v>2</v>
      </c>
      <c r="C4" s="2">
        <v>1641</v>
      </c>
      <c r="D4" s="5">
        <v>1652383034.1099999</v>
      </c>
      <c r="E4" s="5">
        <v>1392999933.5799999</v>
      </c>
      <c r="F4" s="6">
        <v>259383100.53</v>
      </c>
    </row>
    <row r="5" spans="1:6">
      <c r="A5" s="1" t="s">
        <v>1</v>
      </c>
      <c r="B5" s="2" t="s">
        <v>3</v>
      </c>
      <c r="C5" s="2">
        <v>668</v>
      </c>
      <c r="D5" s="5">
        <v>586654536.37</v>
      </c>
      <c r="E5" s="5">
        <v>336106806.17000002</v>
      </c>
      <c r="F5" s="6">
        <v>250547730.19999999</v>
      </c>
    </row>
    <row r="6" spans="1:6">
      <c r="A6" s="1" t="s">
        <v>1</v>
      </c>
      <c r="B6" s="2" t="s">
        <v>4</v>
      </c>
      <c r="C6" s="2">
        <v>91</v>
      </c>
      <c r="D6" s="5">
        <v>94185788.170000002</v>
      </c>
      <c r="E6" s="5">
        <v>0</v>
      </c>
      <c r="F6" s="6">
        <v>94185788.170000002</v>
      </c>
    </row>
    <row r="7" spans="1:6">
      <c r="A7" s="1" t="s">
        <v>5</v>
      </c>
      <c r="B7" s="2" t="s">
        <v>2</v>
      </c>
      <c r="C7" s="2">
        <v>1648</v>
      </c>
      <c r="D7" s="5">
        <v>1670582714.04</v>
      </c>
      <c r="E7" s="5">
        <v>1459835527.6500001</v>
      </c>
      <c r="F7" s="6">
        <v>210747186.3899999</v>
      </c>
    </row>
    <row r="8" spans="1:6">
      <c r="A8" s="1" t="s">
        <v>5</v>
      </c>
      <c r="B8" s="2" t="s">
        <v>3</v>
      </c>
      <c r="C8" s="2">
        <v>681</v>
      </c>
      <c r="D8" s="5">
        <v>594858140.60000002</v>
      </c>
      <c r="E8" s="5">
        <v>338442930.98000002</v>
      </c>
      <c r="F8" s="6">
        <v>256415209.62</v>
      </c>
    </row>
    <row r="9" spans="1:6">
      <c r="A9" s="1" t="s">
        <v>5</v>
      </c>
      <c r="B9" s="2" t="s">
        <v>4</v>
      </c>
      <c r="C9" s="2">
        <v>75</v>
      </c>
      <c r="D9" s="5">
        <v>73275649.689999998</v>
      </c>
      <c r="E9" s="5">
        <v>0</v>
      </c>
      <c r="F9" s="6">
        <v>73275649.689999998</v>
      </c>
    </row>
    <row r="10" spans="1:6">
      <c r="A10" s="1" t="s">
        <v>6</v>
      </c>
      <c r="B10" s="2" t="s">
        <v>2</v>
      </c>
      <c r="C10" s="2">
        <v>1601</v>
      </c>
      <c r="D10" s="5">
        <v>1589288899.28</v>
      </c>
      <c r="E10" s="5">
        <v>1368862041.3199999</v>
      </c>
      <c r="F10" s="6">
        <v>220426857.96000001</v>
      </c>
    </row>
    <row r="11" spans="1:6">
      <c r="A11" s="1" t="s">
        <v>6</v>
      </c>
      <c r="B11" s="2" t="s">
        <v>3</v>
      </c>
      <c r="C11" s="2">
        <v>709</v>
      </c>
      <c r="D11" s="5">
        <v>609121006.77999997</v>
      </c>
      <c r="E11" s="5">
        <v>359780654.52999997</v>
      </c>
      <c r="F11" s="6">
        <v>249340352.25</v>
      </c>
    </row>
    <row r="12" spans="1:6">
      <c r="A12" s="3" t="s">
        <v>6</v>
      </c>
      <c r="B12" s="4" t="s">
        <v>4</v>
      </c>
      <c r="C12" s="4">
        <v>92</v>
      </c>
      <c r="D12" s="7">
        <v>96235002.129999995</v>
      </c>
      <c r="E12" s="7">
        <v>0</v>
      </c>
      <c r="F12" s="8">
        <v>96235002.129999995</v>
      </c>
    </row>
    <row r="13" spans="1:6" s="21" customFormat="1">
      <c r="A13" s="18" t="s">
        <v>11</v>
      </c>
      <c r="B13" s="18"/>
      <c r="C13" s="19">
        <f>SUBTOTAL(109,Table1[Invoices Issued])</f>
        <v>7206</v>
      </c>
      <c r="D13" s="20">
        <f>SUBTOTAL(109,Table1[Billed Exposure])</f>
        <v>6966584771.1699991</v>
      </c>
      <c r="E13" s="20">
        <f>SUBTOTAL(109,Table1[Cash Recovered])</f>
        <v>5256027894.2299995</v>
      </c>
      <c r="F13" s="20">
        <f>SUBTOTAL(109,Table1[Uncollected Exposure])</f>
        <v>1710556876.9400001</v>
      </c>
    </row>
  </sheetData>
  <mergeCells count="2">
    <mergeCell ref="A1:F2"/>
    <mergeCell ref="A13:B13"/>
  </mergeCells>
  <conditionalFormatting sqref="F4:F12">
    <cfRule type="colorScale" priority="2">
      <colorScale>
        <cfvo type="min" val="0"/>
        <cfvo type="max" val="0"/>
        <color rgb="FFFFEF9C"/>
        <color rgb="FFFF7128"/>
      </colorScale>
    </cfRule>
  </conditionalFormatting>
  <conditionalFormatting sqref="E4:E12">
    <cfRule type="colorScale" priority="1">
      <colorScale>
        <cfvo type="min" val="0"/>
        <cfvo type="max" val="0"/>
        <color rgb="FFFFEF9C"/>
        <color rgb="FF63BE7B"/>
      </colorScale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2026-08-10T18:21:52Z</dcterms:created>
  <dcterms:modified xsi:type="dcterms:W3CDTF">2026-08-10T18:52:23Z</dcterms:modified>
</cp:coreProperties>
</file>