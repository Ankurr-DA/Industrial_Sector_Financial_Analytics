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31" i="1"/>
  <c r="E31"/>
  <c r="D31"/>
  <c r="C31"/>
</calcChain>
</file>

<file path=xl/sharedStrings.xml><?xml version="1.0" encoding="utf-8"?>
<sst xmlns="http://schemas.openxmlformats.org/spreadsheetml/2006/main" count="63" uniqueCount="21">
  <si>
    <t>Audit Status</t>
  </si>
  <si>
    <t>Outstanding Balance</t>
  </si>
  <si>
    <t>Collection Rate</t>
  </si>
  <si>
    <t>CONSTRUCTION</t>
  </si>
  <si>
    <t>Complete</t>
  </si>
  <si>
    <t>Incomplete</t>
  </si>
  <si>
    <t>Pending</t>
  </si>
  <si>
    <t>FMCG</t>
  </si>
  <si>
    <t>IT SERVICES</t>
  </si>
  <si>
    <t>LOGISTICS</t>
  </si>
  <si>
    <t>MANUFACTURING</t>
  </si>
  <si>
    <t>PHARMA</t>
  </si>
  <si>
    <t>RETAIL</t>
  </si>
  <si>
    <t>TEXTILES</t>
  </si>
  <si>
    <t>UNKNOWN</t>
  </si>
  <si>
    <t>Industry</t>
  </si>
  <si>
    <t>Invoice Volume</t>
  </si>
  <si>
    <t>Billed Value</t>
  </si>
  <si>
    <t>Collected Revenue</t>
  </si>
  <si>
    <t>Industry Billing &amp; Collections</t>
  </si>
  <si>
    <t>TOTAL</t>
  </si>
</sst>
</file>

<file path=xl/styles.xml><?xml version="1.0" encoding="utf-8"?>
<styleSheet xmlns="http://schemas.openxmlformats.org/spreadsheetml/2006/main">
  <numFmts count="1">
    <numFmt numFmtId="164" formatCode="&quot;₹&quot;\ #,##0"/>
  </numFmts>
  <fonts count="5">
    <font>
      <sz val="11"/>
      <color theme="1"/>
      <name val="Calibri"/>
      <family val="2"/>
      <scheme val="minor"/>
    </font>
    <font>
      <b/>
      <sz val="16"/>
      <color theme="0"/>
      <name val="Algerian"/>
      <family val="5"/>
    </font>
    <font>
      <sz val="16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0" fontId="0" fillId="0" borderId="3" xfId="0" applyNumberFormat="1" applyFont="1" applyBorder="1"/>
    <xf numFmtId="10" fontId="0" fillId="0" borderId="9" xfId="0" applyNumberFormat="1" applyFont="1" applyBorder="1"/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64" fontId="0" fillId="0" borderId="8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border outline="0"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scheme val="none"/>
      </font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30" headerRowDxfId="12" dataDxfId="10" totalsRowDxfId="8" headerRowBorderDxfId="11" tableBorderDxfId="9" totalsRowBorderDxfId="7">
  <autoFilter ref="A3:G30"/>
  <tableColumns count="7">
    <tableColumn id="1" name="Industry" totalsRowLabel="Total" dataDxfId="6"/>
    <tableColumn id="2" name="Audit Status" dataDxfId="2"/>
    <tableColumn id="3" name="Invoice Volume" totalsRowFunction="sum" dataDxfId="0"/>
    <tableColumn id="4" name="Billed Value" totalsRowFunction="sum" dataDxfId="1"/>
    <tableColumn id="5" name="Collected Revenue" totalsRowFunction="sum" dataDxfId="5"/>
    <tableColumn id="6" name="Outstanding Balance" totalsRowFunction="sum" dataDxfId="4"/>
    <tableColumn id="7" name="Collection Rate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zoomScale="80" zoomScaleNormal="80" workbookViewId="0">
      <selection activeCell="I13" sqref="I13"/>
    </sheetView>
  </sheetViews>
  <sheetFormatPr defaultRowHeight="15"/>
  <cols>
    <col min="1" max="1" width="20.85546875" customWidth="1"/>
    <col min="2" max="2" width="21.42578125" bestFit="1" customWidth="1"/>
    <col min="3" max="3" width="25.28515625" bestFit="1" customWidth="1"/>
    <col min="4" max="4" width="24" customWidth="1"/>
    <col min="5" max="5" width="29.28515625" bestFit="1" customWidth="1"/>
    <col min="6" max="6" width="31.85546875" bestFit="1" customWidth="1"/>
    <col min="7" max="7" width="27" customWidth="1"/>
  </cols>
  <sheetData>
    <row r="1" spans="1:7">
      <c r="A1" s="14" t="s">
        <v>19</v>
      </c>
      <c r="B1" s="15"/>
      <c r="C1" s="15"/>
      <c r="D1" s="15"/>
      <c r="E1" s="15"/>
      <c r="F1" s="15"/>
      <c r="G1" s="15"/>
    </row>
    <row r="2" spans="1:7">
      <c r="A2" s="15"/>
      <c r="B2" s="15"/>
      <c r="C2" s="15"/>
      <c r="D2" s="15"/>
      <c r="E2" s="15"/>
      <c r="F2" s="15"/>
      <c r="G2" s="15"/>
    </row>
    <row r="3" spans="1:7" ht="18.75">
      <c r="A3" s="9" t="s">
        <v>15</v>
      </c>
      <c r="B3" s="10" t="s">
        <v>0</v>
      </c>
      <c r="C3" s="10" t="s">
        <v>16</v>
      </c>
      <c r="D3" s="10" t="s">
        <v>17</v>
      </c>
      <c r="E3" s="10" t="s">
        <v>18</v>
      </c>
      <c r="F3" s="10" t="s">
        <v>1</v>
      </c>
      <c r="G3" s="11" t="s">
        <v>2</v>
      </c>
    </row>
    <row r="4" spans="1:7">
      <c r="A4" s="3" t="s">
        <v>3</v>
      </c>
      <c r="B4" s="4" t="s">
        <v>4</v>
      </c>
      <c r="C4" s="17">
        <v>590</v>
      </c>
      <c r="D4" s="5">
        <v>591833451.64999998</v>
      </c>
      <c r="E4" s="5">
        <v>511423996.48000002</v>
      </c>
      <c r="F4" s="5">
        <v>80409455.169999957</v>
      </c>
      <c r="G4" s="1">
        <v>0.86409999999999998</v>
      </c>
    </row>
    <row r="5" spans="1:7">
      <c r="A5" s="3" t="s">
        <v>3</v>
      </c>
      <c r="B5" s="4" t="s">
        <v>5</v>
      </c>
      <c r="C5" s="17">
        <v>239</v>
      </c>
      <c r="D5" s="5">
        <v>209500472.09</v>
      </c>
      <c r="E5" s="5">
        <v>116457137.15000001</v>
      </c>
      <c r="F5" s="5">
        <v>93043334.939999998</v>
      </c>
      <c r="G5" s="1">
        <v>0.55589999999999995</v>
      </c>
    </row>
    <row r="6" spans="1:7">
      <c r="A6" s="3" t="s">
        <v>3</v>
      </c>
      <c r="B6" s="4" t="s">
        <v>6</v>
      </c>
      <c r="C6" s="17">
        <v>42</v>
      </c>
      <c r="D6" s="5">
        <v>43789543.509999998</v>
      </c>
      <c r="E6" s="5">
        <v>0</v>
      </c>
      <c r="F6" s="5">
        <v>43789543.509999998</v>
      </c>
      <c r="G6" s="1">
        <v>0</v>
      </c>
    </row>
    <row r="7" spans="1:7">
      <c r="A7" s="3" t="s">
        <v>7</v>
      </c>
      <c r="B7" s="4" t="s">
        <v>4</v>
      </c>
      <c r="C7" s="17">
        <v>543</v>
      </c>
      <c r="D7" s="5">
        <v>536360692.87</v>
      </c>
      <c r="E7" s="5">
        <v>461307954.61000001</v>
      </c>
      <c r="F7" s="5">
        <v>75052738.25999999</v>
      </c>
      <c r="G7" s="1">
        <v>0.86009999999999998</v>
      </c>
    </row>
    <row r="8" spans="1:7">
      <c r="A8" s="3" t="s">
        <v>7</v>
      </c>
      <c r="B8" s="4" t="s">
        <v>5</v>
      </c>
      <c r="C8" s="17">
        <v>225</v>
      </c>
      <c r="D8" s="5">
        <v>206983208.78</v>
      </c>
      <c r="E8" s="5">
        <v>126139378.39</v>
      </c>
      <c r="F8" s="5">
        <v>80843830.390000001</v>
      </c>
      <c r="G8" s="1">
        <v>0.60940000000000005</v>
      </c>
    </row>
    <row r="9" spans="1:7">
      <c r="A9" s="3" t="s">
        <v>7</v>
      </c>
      <c r="B9" s="4" t="s">
        <v>6</v>
      </c>
      <c r="C9" s="17">
        <v>30</v>
      </c>
      <c r="D9" s="5">
        <v>32038224.449999999</v>
      </c>
      <c r="E9" s="5">
        <v>0</v>
      </c>
      <c r="F9" s="5">
        <v>32038224.449999999</v>
      </c>
      <c r="G9" s="1">
        <v>0</v>
      </c>
    </row>
    <row r="10" spans="1:7">
      <c r="A10" s="3" t="s">
        <v>8</v>
      </c>
      <c r="B10" s="4" t="s">
        <v>4</v>
      </c>
      <c r="C10" s="17">
        <v>564</v>
      </c>
      <c r="D10" s="5">
        <v>562329930.48000002</v>
      </c>
      <c r="E10" s="5">
        <v>484811854.94999999</v>
      </c>
      <c r="F10" s="5">
        <v>77518075.530000031</v>
      </c>
      <c r="G10" s="1">
        <v>0.86209999999999998</v>
      </c>
    </row>
    <row r="11" spans="1:7">
      <c r="A11" s="3" t="s">
        <v>8</v>
      </c>
      <c r="B11" s="4" t="s">
        <v>5</v>
      </c>
      <c r="C11" s="17">
        <v>240</v>
      </c>
      <c r="D11" s="5">
        <v>207263115.34</v>
      </c>
      <c r="E11" s="5">
        <v>137871770.75999999</v>
      </c>
      <c r="F11" s="5">
        <v>69391344.580000013</v>
      </c>
      <c r="G11" s="1">
        <v>0.66520000000000001</v>
      </c>
    </row>
    <row r="12" spans="1:7">
      <c r="A12" s="3" t="s">
        <v>8</v>
      </c>
      <c r="B12" s="4" t="s">
        <v>6</v>
      </c>
      <c r="C12" s="17">
        <v>25</v>
      </c>
      <c r="D12" s="5">
        <v>25464856.34</v>
      </c>
      <c r="E12" s="5">
        <v>0</v>
      </c>
      <c r="F12" s="5">
        <v>25464856.34</v>
      </c>
      <c r="G12" s="1">
        <v>0</v>
      </c>
    </row>
    <row r="13" spans="1:7">
      <c r="A13" s="3" t="s">
        <v>9</v>
      </c>
      <c r="B13" s="4" t="s">
        <v>4</v>
      </c>
      <c r="C13" s="17">
        <v>602</v>
      </c>
      <c r="D13" s="5">
        <v>599784741.78999996</v>
      </c>
      <c r="E13" s="5">
        <v>507316757.56999999</v>
      </c>
      <c r="F13" s="5">
        <v>92467984.219999969</v>
      </c>
      <c r="G13" s="1">
        <v>0.8458</v>
      </c>
    </row>
    <row r="14" spans="1:7">
      <c r="A14" s="3" t="s">
        <v>9</v>
      </c>
      <c r="B14" s="4" t="s">
        <v>5</v>
      </c>
      <c r="C14" s="17">
        <v>245</v>
      </c>
      <c r="D14" s="5">
        <v>214521341.78</v>
      </c>
      <c r="E14" s="5">
        <v>118769035.44</v>
      </c>
      <c r="F14" s="5">
        <v>95752306.340000004</v>
      </c>
      <c r="G14" s="1">
        <v>0.55359999999999998</v>
      </c>
    </row>
    <row r="15" spans="1:7">
      <c r="A15" s="3" t="s">
        <v>9</v>
      </c>
      <c r="B15" s="4" t="s">
        <v>6</v>
      </c>
      <c r="C15" s="17">
        <v>32</v>
      </c>
      <c r="D15" s="5">
        <v>35754124.060000002</v>
      </c>
      <c r="E15" s="5">
        <v>0</v>
      </c>
      <c r="F15" s="5">
        <v>35754124.060000002</v>
      </c>
      <c r="G15" s="1">
        <v>0</v>
      </c>
    </row>
    <row r="16" spans="1:7">
      <c r="A16" s="3" t="s">
        <v>10</v>
      </c>
      <c r="B16" s="4" t="s">
        <v>4</v>
      </c>
      <c r="C16" s="17">
        <v>623</v>
      </c>
      <c r="D16" s="5">
        <v>647229454.23000002</v>
      </c>
      <c r="E16" s="5">
        <v>565297286.37</v>
      </c>
      <c r="F16" s="5">
        <v>81932167.860000014</v>
      </c>
      <c r="G16" s="1">
        <v>0.87339999999999995</v>
      </c>
    </row>
    <row r="17" spans="1:7">
      <c r="A17" s="3" t="s">
        <v>10</v>
      </c>
      <c r="B17" s="4" t="s">
        <v>5</v>
      </c>
      <c r="C17" s="17">
        <v>254</v>
      </c>
      <c r="D17" s="5">
        <v>234582726.5</v>
      </c>
      <c r="E17" s="5">
        <v>126843133.43000001</v>
      </c>
      <c r="F17" s="5">
        <v>107739593.06999999</v>
      </c>
      <c r="G17" s="1">
        <v>0.54069999999999996</v>
      </c>
    </row>
    <row r="18" spans="1:7">
      <c r="A18" s="3" t="s">
        <v>10</v>
      </c>
      <c r="B18" s="4" t="s">
        <v>6</v>
      </c>
      <c r="C18" s="17">
        <v>37</v>
      </c>
      <c r="D18" s="5">
        <v>33407453.789999999</v>
      </c>
      <c r="E18" s="5">
        <v>0</v>
      </c>
      <c r="F18" s="5">
        <v>33407453.789999999</v>
      </c>
      <c r="G18" s="1">
        <v>0</v>
      </c>
    </row>
    <row r="19" spans="1:7">
      <c r="A19" s="3" t="s">
        <v>11</v>
      </c>
      <c r="B19" s="4" t="s">
        <v>4</v>
      </c>
      <c r="C19" s="17">
        <v>563</v>
      </c>
      <c r="D19" s="5">
        <v>561415281.12</v>
      </c>
      <c r="E19" s="5">
        <v>477471620.00999999</v>
      </c>
      <c r="F19" s="5">
        <v>83943661.110000014</v>
      </c>
      <c r="G19" s="1">
        <v>0.85050000000000003</v>
      </c>
    </row>
    <row r="20" spans="1:7">
      <c r="A20" s="3" t="s">
        <v>11</v>
      </c>
      <c r="B20" s="4" t="s">
        <v>5</v>
      </c>
      <c r="C20" s="17">
        <v>236</v>
      </c>
      <c r="D20" s="5">
        <v>201706735.34999999</v>
      </c>
      <c r="E20" s="5">
        <v>115759789.69</v>
      </c>
      <c r="F20" s="5">
        <v>85946945.659999996</v>
      </c>
      <c r="G20" s="1">
        <v>0.57389999999999997</v>
      </c>
    </row>
    <row r="21" spans="1:7">
      <c r="A21" s="3" t="s">
        <v>11</v>
      </c>
      <c r="B21" s="4" t="s">
        <v>6</v>
      </c>
      <c r="C21" s="17">
        <v>35</v>
      </c>
      <c r="D21" s="5">
        <v>36955319.109999999</v>
      </c>
      <c r="E21" s="5">
        <v>0</v>
      </c>
      <c r="F21" s="5">
        <v>36955319.109999999</v>
      </c>
      <c r="G21" s="1">
        <v>0</v>
      </c>
    </row>
    <row r="22" spans="1:7">
      <c r="A22" s="3" t="s">
        <v>12</v>
      </c>
      <c r="B22" s="4" t="s">
        <v>4</v>
      </c>
      <c r="C22" s="17">
        <v>626</v>
      </c>
      <c r="D22" s="5">
        <v>640482718.63</v>
      </c>
      <c r="E22" s="5">
        <v>559344213.44000006</v>
      </c>
      <c r="F22" s="5">
        <v>81138505.189999938</v>
      </c>
      <c r="G22" s="1">
        <v>0.87329999999999997</v>
      </c>
    </row>
    <row r="23" spans="1:7">
      <c r="A23" s="3" t="s">
        <v>12</v>
      </c>
      <c r="B23" s="4" t="s">
        <v>5</v>
      </c>
      <c r="C23" s="17">
        <v>254</v>
      </c>
      <c r="D23" s="5">
        <v>199770767.34999999</v>
      </c>
      <c r="E23" s="5">
        <v>111621170.69</v>
      </c>
      <c r="F23" s="5">
        <v>88149596.659999996</v>
      </c>
      <c r="G23" s="1">
        <v>0.55869999999999997</v>
      </c>
    </row>
    <row r="24" spans="1:7">
      <c r="A24" s="3" t="s">
        <v>12</v>
      </c>
      <c r="B24" s="4" t="s">
        <v>6</v>
      </c>
      <c r="C24" s="17">
        <v>26</v>
      </c>
      <c r="D24" s="5">
        <v>28454532.620000001</v>
      </c>
      <c r="E24" s="5">
        <v>0</v>
      </c>
      <c r="F24" s="5">
        <v>28454532.620000001</v>
      </c>
      <c r="G24" s="1">
        <v>0</v>
      </c>
    </row>
    <row r="25" spans="1:7">
      <c r="A25" s="3" t="s">
        <v>13</v>
      </c>
      <c r="B25" s="4" t="s">
        <v>4</v>
      </c>
      <c r="C25" s="17">
        <v>596</v>
      </c>
      <c r="D25" s="5">
        <v>596940440.77999997</v>
      </c>
      <c r="E25" s="5">
        <v>503101739.11000001</v>
      </c>
      <c r="F25" s="5">
        <v>93838701.669999957</v>
      </c>
      <c r="G25" s="1">
        <v>0.84279999999999999</v>
      </c>
    </row>
    <row r="26" spans="1:7">
      <c r="A26" s="3" t="s">
        <v>13</v>
      </c>
      <c r="B26" s="4" t="s">
        <v>5</v>
      </c>
      <c r="C26" s="17">
        <v>289</v>
      </c>
      <c r="D26" s="5">
        <v>253095145.75999999</v>
      </c>
      <c r="E26" s="5">
        <v>141122152.44999999</v>
      </c>
      <c r="F26" s="5">
        <v>111972993.31</v>
      </c>
      <c r="G26" s="1">
        <v>0.55759999999999998</v>
      </c>
    </row>
    <row r="27" spans="1:7">
      <c r="A27" s="3" t="s">
        <v>13</v>
      </c>
      <c r="B27" s="4" t="s">
        <v>6</v>
      </c>
      <c r="C27" s="17">
        <v>23</v>
      </c>
      <c r="D27" s="5">
        <v>21678662.34</v>
      </c>
      <c r="E27" s="5">
        <v>0</v>
      </c>
      <c r="F27" s="5">
        <v>21678662.34</v>
      </c>
      <c r="G27" s="1">
        <v>0</v>
      </c>
    </row>
    <row r="28" spans="1:7">
      <c r="A28" s="3" t="s">
        <v>14</v>
      </c>
      <c r="B28" s="4" t="s">
        <v>4</v>
      </c>
      <c r="C28" s="17">
        <v>183</v>
      </c>
      <c r="D28" s="5">
        <v>175877935.88</v>
      </c>
      <c r="E28" s="5">
        <v>151622080.00999999</v>
      </c>
      <c r="F28" s="5">
        <v>24255855.870000001</v>
      </c>
      <c r="G28" s="1">
        <v>0.86209999999999998</v>
      </c>
    </row>
    <row r="29" spans="1:7">
      <c r="A29" s="3" t="s">
        <v>14</v>
      </c>
      <c r="B29" s="4" t="s">
        <v>5</v>
      </c>
      <c r="C29" s="17">
        <v>76</v>
      </c>
      <c r="D29" s="5">
        <v>63210170.799999997</v>
      </c>
      <c r="E29" s="5">
        <v>39746823.68</v>
      </c>
      <c r="F29" s="5">
        <v>23463347.120000001</v>
      </c>
      <c r="G29" s="1">
        <v>0.62880000000000003</v>
      </c>
    </row>
    <row r="30" spans="1:7">
      <c r="A30" s="6" t="s">
        <v>14</v>
      </c>
      <c r="B30" s="7" t="s">
        <v>6</v>
      </c>
      <c r="C30" s="18">
        <v>8</v>
      </c>
      <c r="D30" s="8">
        <v>6153723.7699999996</v>
      </c>
      <c r="E30" s="8">
        <v>0</v>
      </c>
      <c r="F30" s="8">
        <v>6153723.7699999996</v>
      </c>
      <c r="G30" s="2">
        <v>0</v>
      </c>
    </row>
    <row r="31" spans="1:7" ht="18.75">
      <c r="A31" s="16" t="s">
        <v>20</v>
      </c>
      <c r="B31" s="16"/>
      <c r="C31" s="19">
        <f>SUBTOTAL(109,Table1[Invoice Volume])</f>
        <v>7206</v>
      </c>
      <c r="D31" s="13">
        <f>SUBTOTAL(109,Table1[Billed Value])</f>
        <v>6966584771.170002</v>
      </c>
      <c r="E31" s="13">
        <f>SUBTOTAL(109,Table1[Collected Revenue])</f>
        <v>5256027894.2299995</v>
      </c>
      <c r="F31" s="13">
        <f>SUBTOTAL(109,Table1[Outstanding Balance])</f>
        <v>1710556876.9399993</v>
      </c>
      <c r="G31" s="12"/>
    </row>
  </sheetData>
  <mergeCells count="2">
    <mergeCell ref="A1:G2"/>
    <mergeCell ref="A31:B31"/>
  </mergeCells>
  <conditionalFormatting sqref="G4:G30">
    <cfRule type="dataBar" priority="3">
      <dataBar>
        <cfvo type="min" val="0"/>
        <cfvo type="max" val="0"/>
        <color rgb="FF63C384"/>
      </dataBar>
    </cfRule>
  </conditionalFormatting>
  <conditionalFormatting sqref="F4:F30">
    <cfRule type="colorScale" priority="2">
      <colorScale>
        <cfvo type="min" val="0"/>
        <cfvo type="max" val="0"/>
        <color rgb="FFFFEF9C"/>
        <color rgb="FFFF7128"/>
      </colorScale>
    </cfRule>
  </conditionalFormatting>
  <conditionalFormatting sqref="E4:E30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2026-08-10T18:21:50Z</dcterms:created>
  <dcterms:modified xsi:type="dcterms:W3CDTF">2026-08-10T18:51:00Z</dcterms:modified>
</cp:coreProperties>
</file>